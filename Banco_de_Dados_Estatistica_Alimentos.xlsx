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EP_Envase_Requeijao" sheetId="1" state="visible" r:id="rId1"/>
    <sheet xmlns:r="http://schemas.openxmlformats.org/officeDocument/2006/relationships" name="2_Sensorial_Hedonico" sheetId="2" state="visible" r:id="rId2"/>
    <sheet xmlns:r="http://schemas.openxmlformats.org/officeDocument/2006/relationships" name="3_ADQ_Perfil_PCA" sheetId="3" state="visible" r:id="rId3"/>
    <sheet xmlns:r="http://schemas.openxmlformats.org/officeDocument/2006/relationships" name="4_ShelfLife_VitaminaC" sheetId="4" state="visible" r:id="rId4"/>
    <sheet xmlns:r="http://schemas.openxmlformats.org/officeDocument/2006/relationships" name="5_DOE_Planejamento_Fatorial" sheetId="5" state="visible" r:id="rId5"/>
    <sheet xmlns:r="http://schemas.openxmlformats.org/officeDocument/2006/relationships" name="6_Pareto_Defeitos_Embalage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0D6338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0D6338"/>
        <bgColor rgb="000D6338"/>
      </patternFill>
    </fill>
    <fill>
      <patternFill patternType="solid">
        <fgColor rgb="0016A34A"/>
        <bgColor rgb="0016A34A"/>
      </patternFill>
    </fill>
    <fill>
      <patternFill patternType="solid">
        <fgColor rgb="00F0FDF4"/>
        <bgColor rgb="00F0FDF4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4" fontId="3" fillId="4" borderId="1" applyAlignment="1" pivotButton="0" quotePrefix="0" xfId="0">
      <alignment horizontal="right"/>
    </xf>
    <xf numFmtId="0" fontId="4" fillId="5" borderId="0" pivotButton="0" quotePrefix="0" xfId="0"/>
    <xf numFmtId="4" fontId="4" fillId="5" borderId="0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0" borderId="1" pivotButton="0" quotePrefix="0" xfId="0"/>
    <xf numFmtId="164" fontId="3" fillId="4" borderId="1" applyAlignment="1" pivotButton="0" quotePrefix="0" xfId="0">
      <alignment horizontal="right"/>
    </xf>
    <xf numFmtId="0" fontId="3" fillId="4" borderId="1" pivotButton="0" quotePrefix="0" xfId="0"/>
    <xf numFmtId="2" fontId="4" fillId="5" borderId="0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2" fontId="3" fillId="0" borderId="1" applyAlignment="1" pivotButton="0" quotePrefix="0" xfId="0">
      <alignment horizontal="right"/>
    </xf>
    <xf numFmtId="2" fontId="3" fillId="4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3" fontId="3" fillId="4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0" fontId="5" fillId="5" borderId="1" applyAlignment="1" pivotButton="0" quotePrefix="0" xfId="0">
      <alignment horizontal="left"/>
    </xf>
    <xf numFmtId="3" fontId="5" fillId="5" borderId="1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  <col width="29" customWidth="1" min="8" max="8"/>
    <col width="45" customWidth="1" min="9" max="9"/>
  </cols>
  <sheetData>
    <row r="1">
      <c r="A1" s="1" t="inlineStr">
        <is>
          <t>CONTROLE ESTATÍSTICO DE PROCESSO (CEP) - LINHA DE ENVASE DE REQUEIJÃO (200g)</t>
        </is>
      </c>
    </row>
    <row r="2"/>
    <row r="3">
      <c r="A3" s="2" t="inlineStr">
        <is>
          <t>Subgrupo</t>
        </is>
      </c>
      <c r="B3" s="2" t="inlineStr">
        <is>
          <t>Amostra 1 (g)</t>
        </is>
      </c>
      <c r="C3" s="2" t="inlineStr">
        <is>
          <t>Amostra 2 (g)</t>
        </is>
      </c>
      <c r="D3" s="2" t="inlineStr">
        <is>
          <t>Amostra 3 (g)</t>
        </is>
      </c>
      <c r="E3" s="2" t="inlineStr">
        <is>
          <t>Amostra 4 (g)</t>
        </is>
      </c>
      <c r="F3" s="2" t="inlineStr">
        <is>
          <t>Amostra 5 (g)</t>
        </is>
      </c>
      <c r="G3" s="2" t="inlineStr">
        <is>
          <t>Média (X-barra)</t>
        </is>
      </c>
      <c r="H3" s="2" t="inlineStr">
        <is>
          <t>Amplitude (R)</t>
        </is>
      </c>
      <c r="I3" s="2" t="inlineStr">
        <is>
          <t>Status (CEP)</t>
        </is>
      </c>
    </row>
    <row r="4">
      <c r="A4" s="3" t="n">
        <v>1</v>
      </c>
      <c r="B4" s="4" t="n">
        <v>201.1</v>
      </c>
      <c r="C4" s="4" t="n">
        <v>200.33</v>
      </c>
      <c r="D4" s="4" t="n">
        <v>201.28</v>
      </c>
      <c r="E4" s="4" t="n">
        <v>202.33</v>
      </c>
      <c r="F4" s="4" t="n">
        <v>200.22</v>
      </c>
      <c r="G4" s="4">
        <f>AVERAGE(B4:F4)</f>
        <v/>
      </c>
      <c r="H4" s="4">
        <f>MAX(B4:F4)-MIN(B4:F4)</f>
        <v/>
      </c>
      <c r="I4" s="3">
        <f>IF(AND(G4&gt;=199.8, G4&lt;=201.2), "Em Controle", "Fora de Controle")</f>
        <v/>
      </c>
    </row>
    <row r="5">
      <c r="A5" s="5" t="n">
        <v>2</v>
      </c>
      <c r="B5" s="6" t="n">
        <v>200.22</v>
      </c>
      <c r="C5" s="6" t="n">
        <v>202.4</v>
      </c>
      <c r="D5" s="6" t="n">
        <v>201.42</v>
      </c>
      <c r="E5" s="6" t="n">
        <v>199.94</v>
      </c>
      <c r="F5" s="6" t="n">
        <v>201.15</v>
      </c>
      <c r="G5" s="6">
        <f>AVERAGE(B5:F5)</f>
        <v/>
      </c>
      <c r="H5" s="6">
        <f>MAX(B5:F5)-MIN(B5:F5)</f>
        <v/>
      </c>
      <c r="I5" s="5">
        <f>IF(AND(G5&gt;=199.8, G5&lt;=201.2), "Em Controle", "Fora de Controle")</f>
        <v/>
      </c>
    </row>
    <row r="6">
      <c r="A6" s="3" t="n">
        <v>3</v>
      </c>
      <c r="B6" s="4" t="n">
        <v>199.94</v>
      </c>
      <c r="C6" s="4" t="n">
        <v>199.94</v>
      </c>
      <c r="D6" s="4" t="n">
        <v>200.79</v>
      </c>
      <c r="E6" s="4" t="n">
        <v>198.2</v>
      </c>
      <c r="F6" s="4" t="n">
        <v>198.43</v>
      </c>
      <c r="G6" s="4">
        <f>AVERAGE(B6:F6)</f>
        <v/>
      </c>
      <c r="H6" s="4">
        <f>MAX(B6:F6)-MIN(B6:F6)</f>
        <v/>
      </c>
      <c r="I6" s="3">
        <f>IF(AND(G6&gt;=199.8, G6&lt;=201.2), "Em Controle", "Fora de Controle")</f>
        <v/>
      </c>
    </row>
    <row r="7">
      <c r="A7" s="5" t="n">
        <v>4</v>
      </c>
      <c r="B7" s="6" t="n">
        <v>199.83</v>
      </c>
      <c r="C7" s="6" t="n">
        <v>199.28</v>
      </c>
      <c r="D7" s="6" t="n">
        <v>200.88</v>
      </c>
      <c r="E7" s="6" t="n">
        <v>199.41</v>
      </c>
      <c r="F7" s="6" t="n">
        <v>198.81</v>
      </c>
      <c r="G7" s="6">
        <f>AVERAGE(B7:F7)</f>
        <v/>
      </c>
      <c r="H7" s="6">
        <f>MAX(B7:F7)-MIN(B7:F7)</f>
        <v/>
      </c>
      <c r="I7" s="5">
        <f>IF(AND(G7&gt;=199.8, G7&lt;=201.2), "Em Controle", "Fora de Controle")</f>
        <v/>
      </c>
    </row>
    <row r="8">
      <c r="A8" s="3" t="n">
        <v>5</v>
      </c>
      <c r="B8" s="4" t="n">
        <v>202.26</v>
      </c>
      <c r="C8" s="4" t="n">
        <v>200.23</v>
      </c>
      <c r="D8" s="4" t="n">
        <v>200.58</v>
      </c>
      <c r="E8" s="4" t="n">
        <v>198.79</v>
      </c>
      <c r="F8" s="4" t="n">
        <v>199.85</v>
      </c>
      <c r="G8" s="4">
        <f>AVERAGE(B8:F8)</f>
        <v/>
      </c>
      <c r="H8" s="4">
        <f>MAX(B8:F8)-MIN(B8:F8)</f>
        <v/>
      </c>
      <c r="I8" s="3">
        <f>IF(AND(G8&gt;=199.8, G8&lt;=201.2), "Em Controle", "Fora de Controle")</f>
        <v/>
      </c>
    </row>
    <row r="9">
      <c r="A9" s="5" t="n">
        <v>6</v>
      </c>
      <c r="B9" s="6" t="n">
        <v>200.63</v>
      </c>
      <c r="C9" s="6" t="n">
        <v>199.12</v>
      </c>
      <c r="D9" s="6" t="n">
        <v>200.95</v>
      </c>
      <c r="E9" s="6" t="n">
        <v>199.78</v>
      </c>
      <c r="F9" s="6" t="n">
        <v>200.15</v>
      </c>
      <c r="G9" s="6">
        <f>AVERAGE(B9:F9)</f>
        <v/>
      </c>
      <c r="H9" s="6">
        <f>MAX(B9:F9)-MIN(B9:F9)</f>
        <v/>
      </c>
      <c r="I9" s="5">
        <f>IF(AND(G9&gt;=199.8, G9&lt;=201.2), "Em Controle", "Fora de Controle")</f>
        <v/>
      </c>
    </row>
    <row r="10">
      <c r="A10" s="3" t="n">
        <v>7</v>
      </c>
      <c r="B10" s="4" t="n">
        <v>199.78</v>
      </c>
      <c r="C10" s="4" t="n">
        <v>202.72</v>
      </c>
      <c r="D10" s="4" t="n">
        <v>200.48</v>
      </c>
      <c r="E10" s="4" t="n">
        <v>199.23</v>
      </c>
      <c r="F10" s="4" t="n">
        <v>201.49</v>
      </c>
      <c r="G10" s="4">
        <f>AVERAGE(B10:F10)</f>
        <v/>
      </c>
      <c r="H10" s="4">
        <f>MAX(B10:F10)-MIN(B10:F10)</f>
        <v/>
      </c>
      <c r="I10" s="3">
        <f>IF(AND(G10&gt;=199.8, G10&lt;=201.2), "Em Controle", "Fora de Controle")</f>
        <v/>
      </c>
    </row>
    <row r="11">
      <c r="A11" s="5" t="n">
        <v>8</v>
      </c>
      <c r="B11" s="6" t="n">
        <v>199.03</v>
      </c>
      <c r="C11" s="6" t="n">
        <v>200.75</v>
      </c>
      <c r="D11" s="6" t="n">
        <v>198.15</v>
      </c>
      <c r="E11" s="6" t="n">
        <v>198.91</v>
      </c>
      <c r="F11" s="6" t="n">
        <v>200.74</v>
      </c>
      <c r="G11" s="6">
        <f>AVERAGE(B11:F11)</f>
        <v/>
      </c>
      <c r="H11" s="6">
        <f>MAX(B11:F11)-MIN(B11:F11)</f>
        <v/>
      </c>
      <c r="I11" s="5">
        <f>IF(AND(G11&gt;=199.8, G11&lt;=201.2), "Em Controle", "Fora de Controle")</f>
        <v/>
      </c>
    </row>
    <row r="12">
      <c r="A12" s="3" t="n">
        <v>9</v>
      </c>
      <c r="B12" s="4" t="n">
        <v>201.39</v>
      </c>
      <c r="C12" s="4" t="n">
        <v>200.71</v>
      </c>
      <c r="D12" s="4" t="n">
        <v>200.36</v>
      </c>
      <c r="E12" s="4" t="n">
        <v>200.14</v>
      </c>
      <c r="F12" s="4" t="n">
        <v>198.73</v>
      </c>
      <c r="G12" s="4">
        <f>AVERAGE(B12:F12)</f>
        <v/>
      </c>
      <c r="H12" s="4">
        <f>MAX(B12:F12)-MIN(B12:F12)</f>
        <v/>
      </c>
      <c r="I12" s="3">
        <f>IF(AND(G12&gt;=199.8, G12&lt;=201.2), "Em Controle", "Fora de Controle")</f>
        <v/>
      </c>
    </row>
    <row r="13">
      <c r="A13" s="5" t="n">
        <v>10</v>
      </c>
      <c r="B13" s="6" t="n">
        <v>199.64</v>
      </c>
      <c r="C13" s="6" t="n">
        <v>199.95</v>
      </c>
      <c r="D13" s="6" t="n">
        <v>201.77</v>
      </c>
      <c r="E13" s="6" t="n">
        <v>200.91</v>
      </c>
      <c r="F13" s="6" t="n">
        <v>198.38</v>
      </c>
      <c r="G13" s="6">
        <f>AVERAGE(B13:F13)</f>
        <v/>
      </c>
      <c r="H13" s="6">
        <f>MAX(B13:F13)-MIN(B13:F13)</f>
        <v/>
      </c>
      <c r="I13" s="5">
        <f>IF(AND(G13&gt;=199.8, G13&lt;=201.2), "Em Controle", "Fora de Controle")</f>
        <v/>
      </c>
    </row>
    <row r="14">
      <c r="A14" s="3" t="n">
        <v>11</v>
      </c>
      <c r="B14" s="4" t="n">
        <v>200.89</v>
      </c>
      <c r="C14" s="4" t="n">
        <v>200.04</v>
      </c>
      <c r="D14" s="4" t="n">
        <v>199.69</v>
      </c>
      <c r="E14" s="4" t="n">
        <v>201.23</v>
      </c>
      <c r="F14" s="4" t="n">
        <v>201.74</v>
      </c>
      <c r="G14" s="4">
        <f>AVERAGE(B14:F14)</f>
        <v/>
      </c>
      <c r="H14" s="4">
        <f>MAX(B14:F14)-MIN(B14:F14)</f>
        <v/>
      </c>
      <c r="I14" s="3">
        <f>IF(AND(G14&gt;=199.8, G14&lt;=201.2), "Em Controle", "Fora de Controle")</f>
        <v/>
      </c>
    </row>
    <row r="15">
      <c r="A15" s="5" t="n">
        <v>12</v>
      </c>
      <c r="B15" s="6" t="n">
        <v>201.62</v>
      </c>
      <c r="C15" s="6" t="n">
        <v>199.49</v>
      </c>
      <c r="D15" s="6" t="n">
        <v>200.13</v>
      </c>
      <c r="E15" s="6" t="n">
        <v>200.9</v>
      </c>
      <c r="F15" s="6" t="n">
        <v>201.67</v>
      </c>
      <c r="G15" s="6">
        <f>AVERAGE(B15:F15)</f>
        <v/>
      </c>
      <c r="H15" s="6">
        <f>MAX(B15:F15)-MIN(B15:F15)</f>
        <v/>
      </c>
      <c r="I15" s="5">
        <f>IF(AND(G15&gt;=199.8, G15&lt;=201.2), "Em Controle", "Fora de Controle")</f>
        <v/>
      </c>
    </row>
    <row r="16">
      <c r="A16" s="3" t="n">
        <v>13</v>
      </c>
      <c r="B16" s="4" t="n">
        <v>199.92</v>
      </c>
      <c r="C16" s="4" t="n">
        <v>200.28</v>
      </c>
      <c r="D16" s="4" t="n">
        <v>199.17</v>
      </c>
      <c r="E16" s="4" t="n">
        <v>199.06</v>
      </c>
      <c r="F16" s="4" t="n">
        <v>201.48</v>
      </c>
      <c r="G16" s="4">
        <f>AVERAGE(B16:F16)</f>
        <v/>
      </c>
      <c r="H16" s="4">
        <f>MAX(B16:F16)-MIN(B16:F16)</f>
        <v/>
      </c>
      <c r="I16" s="3">
        <f>IF(AND(G16&gt;=199.8, G16&lt;=201.2), "Em Controle", "Fora de Controle")</f>
        <v/>
      </c>
    </row>
    <row r="17">
      <c r="A17" s="5" t="n">
        <v>14</v>
      </c>
      <c r="B17" s="6" t="n">
        <v>202.13</v>
      </c>
      <c r="C17" s="6" t="n">
        <v>200.41</v>
      </c>
      <c r="D17" s="6" t="n">
        <v>201.7</v>
      </c>
      <c r="E17" s="6" t="n">
        <v>200.93</v>
      </c>
      <c r="F17" s="6" t="n">
        <v>199.73</v>
      </c>
      <c r="G17" s="6">
        <f>AVERAGE(B17:F17)</f>
        <v/>
      </c>
      <c r="H17" s="6">
        <f>MAX(B17:F17)-MIN(B17:F17)</f>
        <v/>
      </c>
      <c r="I17" s="5">
        <f>IF(AND(G17&gt;=199.8, G17&lt;=201.2), "Em Controle", "Fora de Controle")</f>
        <v/>
      </c>
    </row>
    <row r="18">
      <c r="A18" s="3" t="n">
        <v>15</v>
      </c>
      <c r="B18" s="4" t="n">
        <v>200.93</v>
      </c>
      <c r="C18" s="4" t="n">
        <v>202.35</v>
      </c>
      <c r="D18" s="4" t="n">
        <v>200.46</v>
      </c>
      <c r="E18" s="4" t="n">
        <v>202.38</v>
      </c>
      <c r="F18" s="4" t="n">
        <v>197.36</v>
      </c>
      <c r="G18" s="4">
        <f>AVERAGE(B18:F18)</f>
        <v/>
      </c>
      <c r="H18" s="4">
        <f>MAX(B18:F18)-MIN(B18:F18)</f>
        <v/>
      </c>
      <c r="I18" s="3">
        <f>IF(AND(G18&gt;=199.8, G18&lt;=201.2), "Em Controle", "Fora de Controle")</f>
        <v/>
      </c>
    </row>
    <row r="19">
      <c r="A19" s="5" t="n">
        <v>16</v>
      </c>
      <c r="B19" s="6" t="n">
        <v>201.49</v>
      </c>
      <c r="C19" s="6" t="n">
        <v>200.6</v>
      </c>
      <c r="D19" s="6" t="n">
        <v>200.14</v>
      </c>
      <c r="E19" s="6" t="n">
        <v>200.61</v>
      </c>
      <c r="F19" s="6" t="n">
        <v>198.11</v>
      </c>
      <c r="G19" s="6">
        <f>AVERAGE(B19:F19)</f>
        <v/>
      </c>
      <c r="H19" s="6">
        <f>MAX(B19:F19)-MIN(B19:F19)</f>
        <v/>
      </c>
      <c r="I19" s="5">
        <f>IF(AND(G19&gt;=199.8, G19&lt;=201.2), "Em Controle", "Fora de Controle")</f>
        <v/>
      </c>
    </row>
    <row r="20">
      <c r="A20" s="3" t="n">
        <v>17</v>
      </c>
      <c r="B20" s="4" t="n">
        <v>200.24</v>
      </c>
      <c r="C20" s="4" t="n">
        <v>200.93</v>
      </c>
      <c r="D20" s="4" t="n">
        <v>202.27</v>
      </c>
      <c r="E20" s="4" t="n">
        <v>199.88</v>
      </c>
      <c r="F20" s="4" t="n">
        <v>199.53</v>
      </c>
      <c r="G20" s="4">
        <f>AVERAGE(B20:F20)</f>
        <v/>
      </c>
      <c r="H20" s="4">
        <f>MAX(B20:F20)-MIN(B20:F20)</f>
        <v/>
      </c>
      <c r="I20" s="3">
        <f>IF(AND(G20&gt;=199.8, G20&lt;=201.2), "Em Controle", "Fora de Controle")</f>
        <v/>
      </c>
    </row>
    <row r="21">
      <c r="A21" s="5" t="n">
        <v>18</v>
      </c>
      <c r="B21" s="6" t="n">
        <v>199.9</v>
      </c>
      <c r="C21" s="6" t="n">
        <v>201.6</v>
      </c>
      <c r="D21" s="6" t="n">
        <v>200.89</v>
      </c>
      <c r="E21" s="6" t="n">
        <v>199.86</v>
      </c>
      <c r="F21" s="6" t="n">
        <v>201.12</v>
      </c>
      <c r="G21" s="6">
        <f>AVERAGE(B21:F21)</f>
        <v/>
      </c>
      <c r="H21" s="6">
        <f>MAX(B21:F21)-MIN(B21:F21)</f>
        <v/>
      </c>
      <c r="I21" s="5">
        <f>IF(AND(G21&gt;=199.8, G21&lt;=201.2), "Em Controle", "Fora de Controle")</f>
        <v/>
      </c>
    </row>
    <row r="22">
      <c r="A22" s="3" t="n">
        <v>19</v>
      </c>
      <c r="B22" s="4" t="n">
        <v>200.62</v>
      </c>
      <c r="C22" s="4" t="n">
        <v>201.66</v>
      </c>
      <c r="D22" s="4" t="n">
        <v>199.66</v>
      </c>
      <c r="E22" s="4" t="n">
        <v>200.11</v>
      </c>
      <c r="F22" s="4" t="n">
        <v>200.03</v>
      </c>
      <c r="G22" s="4">
        <f>AVERAGE(B22:F22)</f>
        <v/>
      </c>
      <c r="H22" s="4">
        <f>MAX(B22:F22)-MIN(B22:F22)</f>
        <v/>
      </c>
      <c r="I22" s="3">
        <f>IF(AND(G22&gt;=199.8, G22&lt;=201.2), "Em Controle", "Fora de Controle")</f>
        <v/>
      </c>
    </row>
    <row r="23">
      <c r="A23" s="5" t="n">
        <v>20</v>
      </c>
      <c r="B23" s="6" t="n">
        <v>198.74</v>
      </c>
      <c r="C23" s="6" t="n">
        <v>200.86</v>
      </c>
      <c r="D23" s="6" t="n">
        <v>200.81</v>
      </c>
      <c r="E23" s="6" t="n">
        <v>200.51</v>
      </c>
      <c r="F23" s="6" t="n">
        <v>200.22</v>
      </c>
      <c r="G23" s="6">
        <f>AVERAGE(B23:F23)</f>
        <v/>
      </c>
      <c r="H23" s="6">
        <f>MAX(B23:F23)-MIN(B23:F23)</f>
        <v/>
      </c>
      <c r="I23" s="5">
        <f>IF(AND(G23&gt;=199.8, G23&lt;=201.2), "Em Controle", "Fora de Controle")</f>
        <v/>
      </c>
    </row>
    <row r="24">
      <c r="A24" s="3" t="n">
        <v>21</v>
      </c>
      <c r="B24" s="4" t="n">
        <v>198.8</v>
      </c>
      <c r="C24" s="4" t="n">
        <v>200</v>
      </c>
      <c r="D24" s="4" t="n">
        <v>200.09</v>
      </c>
      <c r="E24" s="4" t="n">
        <v>199.54</v>
      </c>
      <c r="F24" s="4" t="n">
        <v>200.31</v>
      </c>
      <c r="G24" s="4">
        <f>AVERAGE(B24:F24)</f>
        <v/>
      </c>
      <c r="H24" s="4">
        <f>MAX(B24:F24)-MIN(B24:F24)</f>
        <v/>
      </c>
      <c r="I24" s="3">
        <f>IF(AND(G24&gt;=199.8, G24&lt;=201.2), "Em Controle", "Fora de Controle")</f>
        <v/>
      </c>
    </row>
    <row r="25">
      <c r="A25" s="5" t="n">
        <v>22</v>
      </c>
      <c r="B25" s="6" t="n">
        <v>200.98</v>
      </c>
      <c r="C25" s="6" t="n">
        <v>202.76</v>
      </c>
      <c r="D25" s="6" t="n">
        <v>200.71</v>
      </c>
      <c r="E25" s="6" t="n">
        <v>200.81</v>
      </c>
      <c r="F25" s="6" t="n">
        <v>200.41</v>
      </c>
      <c r="G25" s="6">
        <f>AVERAGE(B25:F25)</f>
        <v/>
      </c>
      <c r="H25" s="6">
        <f>MAX(B25:F25)-MIN(B25:F25)</f>
        <v/>
      </c>
      <c r="I25" s="5">
        <f>IF(AND(G25&gt;=199.8, G25&lt;=201.2), "Em Controle", "Fora de Controle")</f>
        <v/>
      </c>
    </row>
    <row r="26">
      <c r="A26" s="3" t="n">
        <v>23</v>
      </c>
      <c r="B26" s="4" t="n">
        <v>198.2</v>
      </c>
      <c r="C26" s="4" t="n">
        <v>200.47</v>
      </c>
      <c r="D26" s="4" t="n">
        <v>200.57</v>
      </c>
      <c r="E26" s="4" t="n">
        <v>203.46</v>
      </c>
      <c r="F26" s="4" t="n">
        <v>200.27</v>
      </c>
      <c r="G26" s="4">
        <f>AVERAGE(B26:F26)</f>
        <v/>
      </c>
      <c r="H26" s="4">
        <f>MAX(B26:F26)-MIN(B26:F26)</f>
        <v/>
      </c>
      <c r="I26" s="3">
        <f>IF(AND(G26&gt;=199.8, G26&lt;=201.2), "Em Controle", "Fora de Controle")</f>
        <v/>
      </c>
    </row>
    <row r="27">
      <c r="A27" s="5" t="n">
        <v>24</v>
      </c>
      <c r="B27" s="6" t="n">
        <v>200.86</v>
      </c>
      <c r="C27" s="6" t="n">
        <v>200.46</v>
      </c>
      <c r="D27" s="6" t="n">
        <v>199.1</v>
      </c>
      <c r="E27" s="6" t="n">
        <v>201.87</v>
      </c>
      <c r="F27" s="6" t="n">
        <v>201.4</v>
      </c>
      <c r="G27" s="6">
        <f>AVERAGE(B27:F27)</f>
        <v/>
      </c>
      <c r="H27" s="6">
        <f>MAX(B27:F27)-MIN(B27:F27)</f>
        <v/>
      </c>
      <c r="I27" s="5">
        <f>IF(AND(G27&gt;=199.8, G27&lt;=201.2), "Em Controle", "Fora de Controle")</f>
        <v/>
      </c>
    </row>
    <row r="28">
      <c r="A28" s="3" t="n">
        <v>25</v>
      </c>
      <c r="B28" s="4" t="n">
        <v>201.45</v>
      </c>
      <c r="C28" s="4" t="n">
        <v>199.41</v>
      </c>
      <c r="D28" s="4" t="n">
        <v>202.18</v>
      </c>
      <c r="E28" s="4" t="n">
        <v>198.82</v>
      </c>
      <c r="F28" s="4" t="n">
        <v>201.2</v>
      </c>
      <c r="G28" s="4">
        <f>AVERAGE(B28:F28)</f>
        <v/>
      </c>
      <c r="H28" s="4">
        <f>MAX(B28:F28)-MIN(B28:F28)</f>
        <v/>
      </c>
      <c r="I28" s="3">
        <f>IF(AND(G28&gt;=199.8, G28&lt;=201.2), "Em Controle", "Fora de Controle")</f>
        <v/>
      </c>
    </row>
    <row r="29"/>
    <row r="30">
      <c r="A30" s="7" t="inlineStr">
        <is>
          <t>MÉDIA GERAL</t>
        </is>
      </c>
      <c r="B30" s="7" t="n"/>
      <c r="C30" s="7" t="n"/>
      <c r="D30" s="7" t="n"/>
      <c r="E30" s="7" t="n"/>
      <c r="F30" s="7" t="n"/>
      <c r="G30" s="8">
        <f>AVERAGE(G4:G28)</f>
        <v/>
      </c>
      <c r="H30" s="8">
        <f>AVERAGE(H4:H28)</f>
        <v/>
      </c>
      <c r="I30" s="7" t="n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9" customWidth="1" min="3" max="3"/>
    <col width="30" customWidth="1" min="4" max="4"/>
    <col width="29" customWidth="1" min="5" max="5"/>
    <col width="22" customWidth="1" min="6" max="6"/>
  </cols>
  <sheetData>
    <row r="1">
      <c r="A1" s="1" t="inlineStr">
        <is>
          <t>AVALIAÇÃO SENSORIAL HEDÔNICA DE BEBIDAS VEGETAIS (ESCALA 1 A 9)</t>
        </is>
      </c>
    </row>
    <row r="2"/>
    <row r="3">
      <c r="A3" s="2" t="inlineStr">
        <is>
          <t>Provador ID</t>
        </is>
      </c>
      <c r="B3" s="2" t="inlineStr">
        <is>
          <t>Formulação A (Controle)</t>
        </is>
      </c>
      <c r="C3" s="2" t="inlineStr">
        <is>
          <t>Formulação B (Baixo Sódio)</t>
        </is>
      </c>
      <c r="D3" s="2" t="inlineStr">
        <is>
          <t>Formulação C (Substituto A)</t>
        </is>
      </c>
      <c r="E3" s="2" t="inlineStr">
        <is>
          <t>Formulação D (Enzima Nova)</t>
        </is>
      </c>
      <c r="F3" s="2" t="inlineStr">
        <is>
          <t>Observações</t>
        </is>
      </c>
    </row>
    <row r="4">
      <c r="A4" s="3" t="inlineStr">
        <is>
          <t>Provador_01</t>
        </is>
      </c>
      <c r="B4" s="9" t="n">
        <v>6.9</v>
      </c>
      <c r="C4" s="9" t="n">
        <v>7.1</v>
      </c>
      <c r="D4" s="9" t="n">
        <v>7.1</v>
      </c>
      <c r="E4" s="9" t="n">
        <v>8.5</v>
      </c>
      <c r="F4" s="10" t="inlineStr">
        <is>
          <t>Avaliação concluída</t>
        </is>
      </c>
    </row>
    <row r="5">
      <c r="A5" s="5" t="inlineStr">
        <is>
          <t>Provador_02</t>
        </is>
      </c>
      <c r="B5" s="11" t="n">
        <v>7.5</v>
      </c>
      <c r="C5" s="11" t="n">
        <v>7.3</v>
      </c>
      <c r="D5" s="11" t="n">
        <v>5.2</v>
      </c>
      <c r="E5" s="11" t="n">
        <v>8.1</v>
      </c>
      <c r="F5" s="12" t="inlineStr">
        <is>
          <t>Avaliação concluída</t>
        </is>
      </c>
    </row>
    <row r="6">
      <c r="A6" s="3" t="inlineStr">
        <is>
          <t>Provador_03</t>
        </is>
      </c>
      <c r="B6" s="9" t="n">
        <v>7</v>
      </c>
      <c r="C6" s="9" t="n">
        <v>7.3</v>
      </c>
      <c r="D6" s="9" t="n">
        <v>6.4</v>
      </c>
      <c r="E6" s="9" t="n">
        <v>9</v>
      </c>
      <c r="F6" s="10" t="inlineStr">
        <is>
          <t>Avaliação concluída</t>
        </is>
      </c>
    </row>
    <row r="7">
      <c r="A7" s="5" t="inlineStr">
        <is>
          <t>Provador_04</t>
        </is>
      </c>
      <c r="B7" s="11" t="n">
        <v>6.7</v>
      </c>
      <c r="C7" s="11" t="n">
        <v>7.1</v>
      </c>
      <c r="D7" s="11" t="n">
        <v>6</v>
      </c>
      <c r="E7" s="11" t="n">
        <v>7.7</v>
      </c>
      <c r="F7" s="12" t="inlineStr">
        <is>
          <t>Avaliação concluída</t>
        </is>
      </c>
    </row>
    <row r="8">
      <c r="A8" s="3" t="inlineStr">
        <is>
          <t>Provador_05</t>
        </is>
      </c>
      <c r="B8" s="9" t="n">
        <v>7.4</v>
      </c>
      <c r="C8" s="9" t="n">
        <v>8.699999999999999</v>
      </c>
      <c r="D8" s="9" t="n">
        <v>7.4</v>
      </c>
      <c r="E8" s="9" t="n">
        <v>8.5</v>
      </c>
      <c r="F8" s="10" t="inlineStr">
        <is>
          <t>Avaliação concluída</t>
        </is>
      </c>
    </row>
    <row r="9">
      <c r="A9" s="5" t="inlineStr">
        <is>
          <t>Provador_06</t>
        </is>
      </c>
      <c r="B9" s="11" t="n">
        <v>5.4</v>
      </c>
      <c r="C9" s="11" t="n">
        <v>8.1</v>
      </c>
      <c r="D9" s="11" t="n">
        <v>4.9</v>
      </c>
      <c r="E9" s="11" t="n">
        <v>9</v>
      </c>
      <c r="F9" s="12" t="inlineStr">
        <is>
          <t>Avaliação concluída</t>
        </is>
      </c>
    </row>
    <row r="10">
      <c r="A10" s="3" t="inlineStr">
        <is>
          <t>Provador_07</t>
        </is>
      </c>
      <c r="B10" s="9" t="n">
        <v>6.1</v>
      </c>
      <c r="C10" s="9" t="n">
        <v>8.5</v>
      </c>
      <c r="D10" s="9" t="n">
        <v>5.9</v>
      </c>
      <c r="E10" s="9" t="n">
        <v>8.199999999999999</v>
      </c>
      <c r="F10" s="10" t="inlineStr">
        <is>
          <t>Avaliação concluída</t>
        </is>
      </c>
    </row>
    <row r="11">
      <c r="A11" s="5" t="inlineStr">
        <is>
          <t>Provador_08</t>
        </is>
      </c>
      <c r="B11" s="11" t="n">
        <v>6.1</v>
      </c>
      <c r="C11" s="11" t="n">
        <v>8.1</v>
      </c>
      <c r="D11" s="11" t="n">
        <v>8.1</v>
      </c>
      <c r="E11" s="11" t="n">
        <v>8.800000000000001</v>
      </c>
      <c r="F11" s="12" t="inlineStr">
        <is>
          <t>Avaliação concluída</t>
        </is>
      </c>
    </row>
    <row r="12">
      <c r="A12" s="3" t="inlineStr">
        <is>
          <t>Provador_09</t>
        </is>
      </c>
      <c r="B12" s="9" t="n">
        <v>6.9</v>
      </c>
      <c r="C12" s="9" t="n">
        <v>7.9</v>
      </c>
      <c r="D12" s="9" t="n">
        <v>7.2</v>
      </c>
      <c r="E12" s="9" t="n">
        <v>9</v>
      </c>
      <c r="F12" s="10" t="inlineStr">
        <is>
          <t>Avaliação concluída</t>
        </is>
      </c>
    </row>
    <row r="13">
      <c r="A13" s="5" t="inlineStr">
        <is>
          <t>Provador_10</t>
        </is>
      </c>
      <c r="B13" s="11" t="n">
        <v>6.7</v>
      </c>
      <c r="C13" s="11" t="n">
        <v>9</v>
      </c>
      <c r="D13" s="11" t="n">
        <v>9</v>
      </c>
      <c r="E13" s="11" t="n">
        <v>8.6</v>
      </c>
      <c r="F13" s="12" t="inlineStr">
        <is>
          <t>Avaliação concluída</t>
        </is>
      </c>
    </row>
    <row r="14">
      <c r="A14" s="3" t="inlineStr">
        <is>
          <t>Provador_11</t>
        </is>
      </c>
      <c r="B14" s="9" t="n">
        <v>7</v>
      </c>
      <c r="C14" s="9" t="n">
        <v>9</v>
      </c>
      <c r="D14" s="9" t="n">
        <v>6.8</v>
      </c>
      <c r="E14" s="9" t="n">
        <v>8</v>
      </c>
      <c r="F14" s="10" t="inlineStr">
        <is>
          <t>Avaliação concluída</t>
        </is>
      </c>
    </row>
    <row r="15">
      <c r="A15" s="5" t="inlineStr">
        <is>
          <t>Provador_12</t>
        </is>
      </c>
      <c r="B15" s="11" t="n">
        <v>7.6</v>
      </c>
      <c r="C15" s="11" t="n">
        <v>7.7</v>
      </c>
      <c r="D15" s="11" t="n">
        <v>3.8</v>
      </c>
      <c r="E15" s="11" t="n">
        <v>8.5</v>
      </c>
      <c r="F15" s="12" t="inlineStr">
        <is>
          <t>Avaliação concluída</t>
        </is>
      </c>
    </row>
    <row r="16">
      <c r="A16" s="3" t="inlineStr">
        <is>
          <t>Provador_13</t>
        </is>
      </c>
      <c r="B16" s="9" t="n">
        <v>7.9</v>
      </c>
      <c r="C16" s="9" t="n">
        <v>9</v>
      </c>
      <c r="D16" s="9" t="n">
        <v>7.9</v>
      </c>
      <c r="E16" s="9" t="n">
        <v>8.800000000000001</v>
      </c>
      <c r="F16" s="10" t="inlineStr">
        <is>
          <t>Avaliação concluída</t>
        </is>
      </c>
    </row>
    <row r="17">
      <c r="A17" s="5" t="inlineStr">
        <is>
          <t>Provador_14</t>
        </is>
      </c>
      <c r="B17" s="11" t="n">
        <v>7.6</v>
      </c>
      <c r="C17" s="11" t="n">
        <v>8</v>
      </c>
      <c r="D17" s="11" t="n">
        <v>7</v>
      </c>
      <c r="E17" s="11" t="n">
        <v>9</v>
      </c>
      <c r="F17" s="12" t="inlineStr">
        <is>
          <t>Avaliação concluída</t>
        </is>
      </c>
    </row>
    <row r="18">
      <c r="A18" s="3" t="inlineStr">
        <is>
          <t>Provador_15</t>
        </is>
      </c>
      <c r="B18" s="9" t="n">
        <v>6.6</v>
      </c>
      <c r="C18" s="9" t="n">
        <v>8.300000000000001</v>
      </c>
      <c r="D18" s="9" t="n">
        <v>6.4</v>
      </c>
      <c r="E18" s="9" t="n">
        <v>8.199999999999999</v>
      </c>
      <c r="F18" s="10" t="inlineStr">
        <is>
          <t>Avaliação concluída</t>
        </is>
      </c>
    </row>
    <row r="19">
      <c r="A19" s="5" t="inlineStr">
        <is>
          <t>Provador_16</t>
        </is>
      </c>
      <c r="B19" s="11" t="n">
        <v>7.8</v>
      </c>
      <c r="C19" s="11" t="n">
        <v>9</v>
      </c>
      <c r="D19" s="11" t="n">
        <v>5.3</v>
      </c>
      <c r="E19" s="11" t="n">
        <v>9</v>
      </c>
      <c r="F19" s="12" t="inlineStr">
        <is>
          <t>Avaliação concluída</t>
        </is>
      </c>
    </row>
    <row r="20">
      <c r="A20" s="3" t="inlineStr">
        <is>
          <t>Provador_17</t>
        </is>
      </c>
      <c r="B20" s="9" t="n">
        <v>7</v>
      </c>
      <c r="C20" s="9" t="n">
        <v>7.9</v>
      </c>
      <c r="D20" s="9" t="n">
        <v>6.6</v>
      </c>
      <c r="E20" s="9" t="n">
        <v>8.300000000000001</v>
      </c>
      <c r="F20" s="10" t="inlineStr">
        <is>
          <t>Avaliação concluída</t>
        </is>
      </c>
    </row>
    <row r="21">
      <c r="A21" s="5" t="inlineStr">
        <is>
          <t>Provador_18</t>
        </is>
      </c>
      <c r="B21" s="11" t="n">
        <v>8.800000000000001</v>
      </c>
      <c r="C21" s="11" t="n">
        <v>8.300000000000001</v>
      </c>
      <c r="D21" s="11" t="n">
        <v>7.5</v>
      </c>
      <c r="E21" s="11" t="n">
        <v>9</v>
      </c>
      <c r="F21" s="12" t="inlineStr">
        <is>
          <t>Avaliação concluída</t>
        </is>
      </c>
    </row>
    <row r="22">
      <c r="A22" s="3" t="inlineStr">
        <is>
          <t>Provador_19</t>
        </is>
      </c>
      <c r="B22" s="9" t="n">
        <v>7.9</v>
      </c>
      <c r="C22" s="9" t="n">
        <v>8.300000000000001</v>
      </c>
      <c r="D22" s="9" t="n">
        <v>7.2</v>
      </c>
      <c r="E22" s="9" t="n">
        <v>9</v>
      </c>
      <c r="F22" s="10" t="inlineStr">
        <is>
          <t>Avaliação concluída</t>
        </is>
      </c>
    </row>
    <row r="23">
      <c r="A23" s="5" t="inlineStr">
        <is>
          <t>Provador_20</t>
        </is>
      </c>
      <c r="B23" s="11" t="n">
        <v>7.2</v>
      </c>
      <c r="C23" s="11" t="n">
        <v>9</v>
      </c>
      <c r="D23" s="11" t="n">
        <v>6.9</v>
      </c>
      <c r="E23" s="11" t="n">
        <v>9</v>
      </c>
      <c r="F23" s="12" t="inlineStr">
        <is>
          <t>Avaliação concluída</t>
        </is>
      </c>
    </row>
    <row r="24">
      <c r="A24" s="3" t="inlineStr">
        <is>
          <t>Provador_21</t>
        </is>
      </c>
      <c r="B24" s="9" t="n">
        <v>7.1</v>
      </c>
      <c r="C24" s="9" t="n">
        <v>9</v>
      </c>
      <c r="D24" s="9" t="n">
        <v>7.5</v>
      </c>
      <c r="E24" s="9" t="n">
        <v>8.800000000000001</v>
      </c>
      <c r="F24" s="10" t="inlineStr">
        <is>
          <t>Avaliação concluída</t>
        </is>
      </c>
    </row>
    <row r="25">
      <c r="A25" s="5" t="inlineStr">
        <is>
          <t>Provador_22</t>
        </is>
      </c>
      <c r="B25" s="11" t="n">
        <v>6.2</v>
      </c>
      <c r="C25" s="11" t="n">
        <v>8.699999999999999</v>
      </c>
      <c r="D25" s="11" t="n">
        <v>7</v>
      </c>
      <c r="E25" s="11" t="n">
        <v>9</v>
      </c>
      <c r="F25" s="12" t="inlineStr">
        <is>
          <t>Avaliação concluída</t>
        </is>
      </c>
    </row>
    <row r="26">
      <c r="A26" s="3" t="inlineStr">
        <is>
          <t>Provador_23</t>
        </is>
      </c>
      <c r="B26" s="9" t="n">
        <v>7.3</v>
      </c>
      <c r="C26" s="9" t="n">
        <v>9</v>
      </c>
      <c r="D26" s="9" t="n">
        <v>5.7</v>
      </c>
      <c r="E26" s="9" t="n">
        <v>9</v>
      </c>
      <c r="F26" s="10" t="inlineStr">
        <is>
          <t>Avaliação concluída</t>
        </is>
      </c>
    </row>
    <row r="27">
      <c r="A27" s="5" t="inlineStr">
        <is>
          <t>Provador_24</t>
        </is>
      </c>
      <c r="B27" s="11" t="n">
        <v>6.1</v>
      </c>
      <c r="C27" s="11" t="n">
        <v>7.4</v>
      </c>
      <c r="D27" s="11" t="n">
        <v>7.1</v>
      </c>
      <c r="E27" s="11" t="n">
        <v>9</v>
      </c>
      <c r="F27" s="12" t="inlineStr">
        <is>
          <t>Avaliação concluída</t>
        </is>
      </c>
    </row>
    <row r="28">
      <c r="A28" s="3" t="inlineStr">
        <is>
          <t>Provador_25</t>
        </is>
      </c>
      <c r="B28" s="9" t="n">
        <v>7.5</v>
      </c>
      <c r="C28" s="9" t="n">
        <v>8.300000000000001</v>
      </c>
      <c r="D28" s="9" t="n">
        <v>7.4</v>
      </c>
      <c r="E28" s="9" t="n">
        <v>8.800000000000001</v>
      </c>
      <c r="F28" s="10" t="inlineStr">
        <is>
          <t>Avaliação concluída</t>
        </is>
      </c>
    </row>
    <row r="29">
      <c r="A29" s="5" t="inlineStr">
        <is>
          <t>Provador_26</t>
        </is>
      </c>
      <c r="B29" s="11" t="n">
        <v>5.3</v>
      </c>
      <c r="C29" s="11" t="n">
        <v>9</v>
      </c>
      <c r="D29" s="11" t="n">
        <v>8.9</v>
      </c>
      <c r="E29" s="11" t="n">
        <v>8.6</v>
      </c>
      <c r="F29" s="12" t="inlineStr">
        <is>
          <t>Avaliação concluída</t>
        </is>
      </c>
    </row>
    <row r="30">
      <c r="A30" s="3" t="inlineStr">
        <is>
          <t>Provador_27</t>
        </is>
      </c>
      <c r="B30" s="9" t="n">
        <v>6</v>
      </c>
      <c r="C30" s="9" t="n">
        <v>8.300000000000001</v>
      </c>
      <c r="D30" s="9" t="n">
        <v>6.9</v>
      </c>
      <c r="E30" s="9" t="n">
        <v>8.800000000000001</v>
      </c>
      <c r="F30" s="10" t="inlineStr">
        <is>
          <t>Avaliação concluída</t>
        </is>
      </c>
    </row>
    <row r="31">
      <c r="A31" s="5" t="inlineStr">
        <is>
          <t>Provador_28</t>
        </is>
      </c>
      <c r="B31" s="11" t="n">
        <v>8.6</v>
      </c>
      <c r="C31" s="11" t="n">
        <v>8.800000000000001</v>
      </c>
      <c r="D31" s="11" t="n">
        <v>5.6</v>
      </c>
      <c r="E31" s="11" t="n">
        <v>9</v>
      </c>
      <c r="F31" s="12" t="inlineStr">
        <is>
          <t>Avaliação concluída</t>
        </is>
      </c>
    </row>
    <row r="32">
      <c r="A32" s="3" t="inlineStr">
        <is>
          <t>Provador_29</t>
        </is>
      </c>
      <c r="B32" s="9" t="n">
        <v>8.699999999999999</v>
      </c>
      <c r="C32" s="9" t="n">
        <v>8.699999999999999</v>
      </c>
      <c r="D32" s="9" t="n">
        <v>8.1</v>
      </c>
      <c r="E32" s="9" t="n">
        <v>9</v>
      </c>
      <c r="F32" s="10" t="inlineStr">
        <is>
          <t>Avaliação concluída</t>
        </is>
      </c>
    </row>
    <row r="33">
      <c r="A33" s="5" t="inlineStr">
        <is>
          <t>Provador_30</t>
        </is>
      </c>
      <c r="B33" s="11" t="n">
        <v>8.5</v>
      </c>
      <c r="C33" s="11" t="n">
        <v>9</v>
      </c>
      <c r="D33" s="11" t="n">
        <v>7.6</v>
      </c>
      <c r="E33" s="11" t="n">
        <v>9</v>
      </c>
      <c r="F33" s="12" t="inlineStr">
        <is>
          <t>Avaliação concluída</t>
        </is>
      </c>
    </row>
    <row r="34">
      <c r="A34" s="7" t="inlineStr">
        <is>
          <t>MÉDIA DA NOTA</t>
        </is>
      </c>
      <c r="B34" s="13">
        <f>AVERAGE(B4:B33)</f>
        <v/>
      </c>
      <c r="C34" s="13">
        <f>AVERAGE(C4:C33)</f>
        <v/>
      </c>
      <c r="D34" s="13">
        <f>AVERAGE(D4:D33)</f>
        <v/>
      </c>
      <c r="E34" s="13">
        <f>AVERAGE(E4:E33)</f>
        <v/>
      </c>
      <c r="F34" s="7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7" customWidth="1" min="4" max="4"/>
    <col width="21" customWidth="1" min="5" max="5"/>
    <col width="17" customWidth="1" min="6" max="6"/>
  </cols>
  <sheetData>
    <row r="1">
      <c r="A1" s="1" t="inlineStr">
        <is>
          <t>ANÁLISE DESCRITIVA QUANTITATIVA (ADQ) - QUEIJOS COMERCIAIS</t>
        </is>
      </c>
    </row>
    <row r="2"/>
    <row r="3">
      <c r="A3" s="2" t="inlineStr">
        <is>
          <t>Amostra / Marca</t>
        </is>
      </c>
      <c r="B3" s="2" t="inlineStr">
        <is>
          <t>Aroma Lácteo (0-10)</t>
        </is>
      </c>
      <c r="C3" s="2" t="inlineStr">
        <is>
          <t>Acidez (0-10)</t>
        </is>
      </c>
      <c r="D3" s="2" t="inlineStr">
        <is>
          <t>Firmeza (0-10)</t>
        </is>
      </c>
      <c r="E3" s="2" t="inlineStr">
        <is>
          <t>Cremosidade (0-10)</t>
        </is>
      </c>
      <c r="F3" s="2" t="inlineStr">
        <is>
          <t>Salgado (0-10)</t>
        </is>
      </c>
    </row>
    <row r="4">
      <c r="A4" s="14" t="inlineStr">
        <is>
          <t>Amostra Alpha</t>
        </is>
      </c>
      <c r="B4" s="9" t="n">
        <v>7.5</v>
      </c>
      <c r="C4" s="9" t="n">
        <v>3.1</v>
      </c>
      <c r="D4" s="9" t="n">
        <v>6.8</v>
      </c>
      <c r="E4" s="9" t="n">
        <v>8.199999999999999</v>
      </c>
      <c r="F4" s="9" t="n">
        <v>4</v>
      </c>
    </row>
    <row r="5">
      <c r="A5" s="15" t="inlineStr">
        <is>
          <t>Amostra Beta</t>
        </is>
      </c>
      <c r="B5" s="11" t="n">
        <v>4.2</v>
      </c>
      <c r="C5" s="11" t="n">
        <v>7.8</v>
      </c>
      <c r="D5" s="11" t="n">
        <v>8.199999999999999</v>
      </c>
      <c r="E5" s="11" t="n">
        <v>3.5</v>
      </c>
      <c r="F5" s="11" t="n">
        <v>6.5</v>
      </c>
    </row>
    <row r="6">
      <c r="A6" s="14" t="inlineStr">
        <is>
          <t>Amostra Gamma</t>
        </is>
      </c>
      <c r="B6" s="9" t="n">
        <v>8.1</v>
      </c>
      <c r="C6" s="9" t="n">
        <v>2.5</v>
      </c>
      <c r="D6" s="9" t="n">
        <v>5</v>
      </c>
      <c r="E6" s="9" t="n">
        <v>9</v>
      </c>
      <c r="F6" s="9" t="n">
        <v>3.8</v>
      </c>
    </row>
    <row r="7">
      <c r="A7" s="15" t="inlineStr">
        <is>
          <t>Amostra Delta</t>
        </is>
      </c>
      <c r="B7" s="11" t="n">
        <v>3</v>
      </c>
      <c r="C7" s="11" t="n">
        <v>8.5</v>
      </c>
      <c r="D7" s="11" t="n">
        <v>8.9</v>
      </c>
      <c r="E7" s="11" t="n">
        <v>2.1</v>
      </c>
      <c r="F7" s="11" t="n">
        <v>7.2</v>
      </c>
    </row>
    <row r="8">
      <c r="A8" s="14" t="inlineStr">
        <is>
          <t>Amostra Epsilon</t>
        </is>
      </c>
      <c r="B8" s="9" t="n">
        <v>6.8</v>
      </c>
      <c r="C8" s="9" t="n">
        <v>4</v>
      </c>
      <c r="D8" s="9" t="n">
        <v>6.1</v>
      </c>
      <c r="E8" s="9" t="n">
        <v>7.5</v>
      </c>
      <c r="F8" s="9" t="n">
        <v>4.8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7" customWidth="1" min="3" max="3"/>
    <col width="26" customWidth="1" min="4" max="4"/>
    <col width="45" customWidth="1" min="5" max="5"/>
  </cols>
  <sheetData>
    <row r="1">
      <c r="A1" s="1" t="inlineStr">
        <is>
          <t>ESTUDO DE VIDA DE PRATELEIRA - DEGRADAÇÃO DE VITAMINA C (25°C)</t>
        </is>
      </c>
    </row>
    <row r="2"/>
    <row r="3">
      <c r="A3" s="2" t="inlineStr">
        <is>
          <t>Tempo (Dias)</t>
        </is>
      </c>
      <c r="B3" s="2" t="inlineStr">
        <is>
          <t>Vitamina C (mg/100mL)</t>
        </is>
      </c>
      <c r="C3" s="2" t="inlineStr">
        <is>
          <t>ln(Vitamina C)</t>
        </is>
      </c>
      <c r="D3" s="2" t="inlineStr">
        <is>
          <t>Limite Mínimo Aceitável</t>
        </is>
      </c>
      <c r="E3" s="2" t="inlineStr">
        <is>
          <t>Status Qualidade</t>
        </is>
      </c>
    </row>
    <row r="4">
      <c r="A4" s="3" t="n">
        <v>0</v>
      </c>
      <c r="B4" s="16" t="n">
        <v>45</v>
      </c>
      <c r="C4" s="16">
        <f>LN(B4)</f>
        <v/>
      </c>
      <c r="D4" s="16" t="n">
        <v>20</v>
      </c>
      <c r="E4" s="3">
        <f>IF(B4&gt;=D4, "Conforme", "Fora de Especificação")</f>
        <v/>
      </c>
    </row>
    <row r="5">
      <c r="A5" s="5" t="n">
        <v>7</v>
      </c>
      <c r="B5" s="17" t="n">
        <v>41.2</v>
      </c>
      <c r="C5" s="17">
        <f>LN(B5)</f>
        <v/>
      </c>
      <c r="D5" s="17" t="n">
        <v>20</v>
      </c>
      <c r="E5" s="5">
        <f>IF(B5&gt;=D5, "Conforme", "Fora de Especificação")</f>
        <v/>
      </c>
    </row>
    <row r="6">
      <c r="A6" s="3" t="n">
        <v>14</v>
      </c>
      <c r="B6" s="16" t="n">
        <v>36.8</v>
      </c>
      <c r="C6" s="16">
        <f>LN(B6)</f>
        <v/>
      </c>
      <c r="D6" s="16" t="n">
        <v>20</v>
      </c>
      <c r="E6" s="3">
        <f>IF(B6&gt;=D6, "Conforme", "Fora de Especificação")</f>
        <v/>
      </c>
    </row>
    <row r="7">
      <c r="A7" s="5" t="n">
        <v>21</v>
      </c>
      <c r="B7" s="17" t="n">
        <v>33.1</v>
      </c>
      <c r="C7" s="17">
        <f>LN(B7)</f>
        <v/>
      </c>
      <c r="D7" s="17" t="n">
        <v>20</v>
      </c>
      <c r="E7" s="5">
        <f>IF(B7&gt;=D7, "Conforme", "Fora de Especificação")</f>
        <v/>
      </c>
    </row>
    <row r="8">
      <c r="A8" s="3" t="n">
        <v>28</v>
      </c>
      <c r="B8" s="16" t="n">
        <v>29.5</v>
      </c>
      <c r="C8" s="16">
        <f>LN(B8)</f>
        <v/>
      </c>
      <c r="D8" s="16" t="n">
        <v>20</v>
      </c>
      <c r="E8" s="3">
        <f>IF(B8&gt;=D8, "Conforme", "Fora de Especificação")</f>
        <v/>
      </c>
    </row>
    <row r="9">
      <c r="A9" s="5" t="n">
        <v>35</v>
      </c>
      <c r="B9" s="17" t="n">
        <v>26</v>
      </c>
      <c r="C9" s="17">
        <f>LN(B9)</f>
        <v/>
      </c>
      <c r="D9" s="17" t="n">
        <v>20</v>
      </c>
      <c r="E9" s="5">
        <f>IF(B9&gt;=D9, "Conforme", "Fora de Especificação")</f>
        <v/>
      </c>
    </row>
    <row r="10">
      <c r="A10" s="3" t="n">
        <v>42</v>
      </c>
      <c r="B10" s="16" t="n">
        <v>23.2</v>
      </c>
      <c r="C10" s="16">
        <f>LN(B10)</f>
        <v/>
      </c>
      <c r="D10" s="16" t="n">
        <v>20</v>
      </c>
      <c r="E10" s="3">
        <f>IF(B10&gt;=D10, "Conforme", "Fora de Especificação")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2" customWidth="1" min="4" max="4"/>
    <col width="21" customWidth="1" min="5" max="5"/>
    <col width="22" customWidth="1" min="6" max="6"/>
    <col width="17" customWidth="1" min="7" max="7"/>
  </cols>
  <sheetData>
    <row r="1">
      <c r="A1" s="1" t="inlineStr">
        <is>
          <t>PLANEJAMENTO FATORIAL COMPLETO 2³ - OTIMIZAÇÃO DE EXTRAÇÃO DE BIOATIVOS</t>
        </is>
      </c>
    </row>
    <row r="2"/>
    <row r="3">
      <c r="A3" s="2" t="inlineStr">
        <is>
          <t>Ensaio</t>
        </is>
      </c>
      <c r="B3" s="2" t="inlineStr">
        <is>
          <t>Temperatura (°C)</t>
        </is>
      </c>
      <c r="C3" s="2" t="inlineStr">
        <is>
          <t>Tempo (min)</t>
        </is>
      </c>
      <c r="D3" s="2" t="inlineStr">
        <is>
          <t>pH</t>
        </is>
      </c>
      <c r="E3" s="2" t="inlineStr">
        <is>
          <t>Nível Temp (-1/+1)</t>
        </is>
      </c>
      <c r="F3" s="2" t="inlineStr">
        <is>
          <t>Nível Tempo (-1/+1)</t>
        </is>
      </c>
      <c r="G3" s="2" t="inlineStr">
        <is>
          <t>Rendimento (%)</t>
        </is>
      </c>
    </row>
    <row r="4">
      <c r="A4" s="3" t="n">
        <v>1</v>
      </c>
      <c r="B4" s="9" t="n">
        <v>40</v>
      </c>
      <c r="C4" s="9" t="n">
        <v>15</v>
      </c>
      <c r="D4" s="9" t="n">
        <v>3.5</v>
      </c>
      <c r="E4" s="3" t="n">
        <v>-1</v>
      </c>
      <c r="F4" s="3" t="n">
        <v>-1</v>
      </c>
      <c r="G4" s="9" t="n">
        <v>42.1</v>
      </c>
    </row>
    <row r="5">
      <c r="A5" s="5" t="n">
        <v>2</v>
      </c>
      <c r="B5" s="11" t="n">
        <v>60</v>
      </c>
      <c r="C5" s="11" t="n">
        <v>15</v>
      </c>
      <c r="D5" s="11" t="n">
        <v>3.5</v>
      </c>
      <c r="E5" s="5" t="n">
        <v>1</v>
      </c>
      <c r="F5" s="5" t="n">
        <v>-1</v>
      </c>
      <c r="G5" s="11" t="n">
        <v>55.4</v>
      </c>
    </row>
    <row r="6">
      <c r="A6" s="3" t="n">
        <v>3</v>
      </c>
      <c r="B6" s="9" t="n">
        <v>40</v>
      </c>
      <c r="C6" s="9" t="n">
        <v>45</v>
      </c>
      <c r="D6" s="9" t="n">
        <v>3.5</v>
      </c>
      <c r="E6" s="3" t="n">
        <v>-1</v>
      </c>
      <c r="F6" s="3" t="n">
        <v>1</v>
      </c>
      <c r="G6" s="9" t="n">
        <v>48</v>
      </c>
    </row>
    <row r="7">
      <c r="A7" s="5" t="n">
        <v>4</v>
      </c>
      <c r="B7" s="11" t="n">
        <v>60</v>
      </c>
      <c r="C7" s="11" t="n">
        <v>45</v>
      </c>
      <c r="D7" s="11" t="n">
        <v>3.5</v>
      </c>
      <c r="E7" s="5" t="n">
        <v>1</v>
      </c>
      <c r="F7" s="5" t="n">
        <v>1</v>
      </c>
      <c r="G7" s="11" t="n">
        <v>68.2</v>
      </c>
    </row>
    <row r="8">
      <c r="A8" s="3" t="n">
        <v>5</v>
      </c>
      <c r="B8" s="9" t="n">
        <v>40</v>
      </c>
      <c r="C8" s="9" t="n">
        <v>15</v>
      </c>
      <c r="D8" s="9" t="n">
        <v>5.5</v>
      </c>
      <c r="E8" s="3" t="n">
        <v>-1</v>
      </c>
      <c r="F8" s="3" t="n">
        <v>-1</v>
      </c>
      <c r="G8" s="9" t="n">
        <v>39.5</v>
      </c>
    </row>
    <row r="9">
      <c r="A9" s="5" t="n">
        <v>6</v>
      </c>
      <c r="B9" s="11" t="n">
        <v>60</v>
      </c>
      <c r="C9" s="11" t="n">
        <v>15</v>
      </c>
      <c r="D9" s="11" t="n">
        <v>5.5</v>
      </c>
      <c r="E9" s="5" t="n">
        <v>1</v>
      </c>
      <c r="F9" s="5" t="n">
        <v>-1</v>
      </c>
      <c r="G9" s="11" t="n">
        <v>51</v>
      </c>
    </row>
    <row r="10">
      <c r="A10" s="3" t="n">
        <v>7</v>
      </c>
      <c r="B10" s="9" t="n">
        <v>40</v>
      </c>
      <c r="C10" s="9" t="n">
        <v>45</v>
      </c>
      <c r="D10" s="9" t="n">
        <v>5.5</v>
      </c>
      <c r="E10" s="3" t="n">
        <v>-1</v>
      </c>
      <c r="F10" s="3" t="n">
        <v>1</v>
      </c>
      <c r="G10" s="9" t="n">
        <v>44.8</v>
      </c>
    </row>
    <row r="11">
      <c r="A11" s="5" t="n">
        <v>8</v>
      </c>
      <c r="B11" s="11" t="n">
        <v>60</v>
      </c>
      <c r="C11" s="11" t="n">
        <v>45</v>
      </c>
      <c r="D11" s="11" t="n">
        <v>5.5</v>
      </c>
      <c r="E11" s="5" t="n">
        <v>1</v>
      </c>
      <c r="F11" s="5" t="n">
        <v>1</v>
      </c>
      <c r="G11" s="11" t="n">
        <v>62.3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18" customWidth="1" min="3" max="3"/>
    <col width="28" customWidth="1" min="4" max="4"/>
    <col width="45" customWidth="1" min="5" max="5"/>
  </cols>
  <sheetData>
    <row r="1">
      <c r="A1" s="1" t="inlineStr">
        <is>
          <t>DIAGRAMA DE PARETO - DEFEITOS NO PROCESSO DE EMBALAGEM DE ALIMENTOS</t>
        </is>
      </c>
    </row>
    <row r="2"/>
    <row r="3">
      <c r="A3" s="2" t="inlineStr">
        <is>
          <t>Tipo de Defeito</t>
        </is>
      </c>
      <c r="B3" s="2" t="inlineStr">
        <is>
          <t>Frequência (Ocorrências)</t>
        </is>
      </c>
      <c r="C3" s="2" t="inlineStr">
        <is>
          <t>Porcentagem (%)</t>
        </is>
      </c>
      <c r="D3" s="2" t="inlineStr">
        <is>
          <t>Porcentagem Acumulada (%)</t>
        </is>
      </c>
      <c r="E3" s="2" t="inlineStr">
        <is>
          <t>Prioridade (Regra 80/20)</t>
        </is>
      </c>
    </row>
    <row r="4">
      <c r="A4" s="14" t="inlineStr">
        <is>
          <t>Variação de Peso</t>
        </is>
      </c>
      <c r="B4" s="18" t="n">
        <v>140</v>
      </c>
      <c r="C4" s="19">
        <f>B4/B$9*100</f>
        <v/>
      </c>
      <c r="D4" s="19">
        <f>C4</f>
        <v/>
      </c>
      <c r="E4" s="3">
        <f>IF(D4&lt;=80, "Vital (80%)", "Trivial (20%)")</f>
        <v/>
      </c>
    </row>
    <row r="5">
      <c r="A5" s="15" t="inlineStr">
        <is>
          <t>Falha de Selagem</t>
        </is>
      </c>
      <c r="B5" s="20" t="n">
        <v>105</v>
      </c>
      <c r="C5" s="21">
        <f>B5/B$9*100</f>
        <v/>
      </c>
      <c r="D5" s="21">
        <f>D4+C5</f>
        <v/>
      </c>
      <c r="E5" s="5">
        <f>IF(D5&lt;=80, "Vital (80%)", "Trivial (20%)")</f>
        <v/>
      </c>
    </row>
    <row r="6">
      <c r="A6" s="14" t="inlineStr">
        <is>
          <t>Desvio Sensorial</t>
        </is>
      </c>
      <c r="B6" s="18" t="n">
        <v>70</v>
      </c>
      <c r="C6" s="19">
        <f>B6/B$9*100</f>
        <v/>
      </c>
      <c r="D6" s="19">
        <f>D5+C6</f>
        <v/>
      </c>
      <c r="E6" s="3">
        <f>IF(D6&lt;=80, "Vital (80%)", "Trivial (20%)")</f>
        <v/>
      </c>
    </row>
    <row r="7">
      <c r="A7" s="15" t="inlineStr">
        <is>
          <t>Rótulo Danificado</t>
        </is>
      </c>
      <c r="B7" s="20" t="n">
        <v>22</v>
      </c>
      <c r="C7" s="21">
        <f>B7/B$9*100</f>
        <v/>
      </c>
      <c r="D7" s="21">
        <f>D6+C7</f>
        <v/>
      </c>
      <c r="E7" s="5">
        <f>IF(D7&lt;=80, "Vital (80%)", "Trivial (20%)")</f>
        <v/>
      </c>
    </row>
    <row r="8">
      <c r="A8" s="14" t="inlineStr">
        <is>
          <t>Outros Defeitos</t>
        </is>
      </c>
      <c r="B8" s="18" t="n">
        <v>13</v>
      </c>
      <c r="C8" s="19">
        <f>B8/B$9*100</f>
        <v/>
      </c>
      <c r="D8" s="19">
        <f>D7+C8</f>
        <v/>
      </c>
      <c r="E8" s="3">
        <f>IF(D8&lt;=80, "Vital (80%)", "Trivial (20%)")</f>
        <v/>
      </c>
    </row>
    <row r="9">
      <c r="A9" s="22" t="inlineStr">
        <is>
          <t>TOTAL</t>
        </is>
      </c>
      <c r="B9" s="23">
        <f>SUM(B4:B8)</f>
        <v/>
      </c>
      <c r="C9" s="24">
        <f>SUM(C4:C8)</f>
        <v/>
      </c>
      <c r="D9" s="24" t="n"/>
      <c r="E9" s="2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2026-08-29T19:09:40Z</dcterms:created>
  <dcterms:modified xmlns:dcterms="http://purl.org/dc/terms/" xmlns:xsi="http://www.w3.org/2001/XMLSchema-instance" xsi:type="dcterms:W3CDTF">2026-08-29T19:09:40Z</dcterms:modified>
</cp:coreProperties>
</file>